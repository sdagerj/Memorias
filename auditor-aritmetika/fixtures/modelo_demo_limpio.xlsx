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uestos" sheetId="1" r:id="rId1"/>
    <sheet name="Pref Yield" sheetId="2" r:id="rId2"/>
    <sheet name="Ingreso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2">
      <c r="C2" t="str">
        <v>SUPUESTOS GENERALES</v>
      </c>
    </row>
    <row r="3">
      <c r="C3" t="str">
        <v>Tasa Preferred Yield (EA)</v>
      </c>
      <c r="D3" s="1">
        <v>0.15</v>
      </c>
    </row>
    <row r="4">
      <c r="C4" t="str">
        <v>Tasa de descuento (EA)</v>
      </c>
      <c r="D4" s="1">
        <v>0.15</v>
      </c>
    </row>
    <row r="5">
      <c r="C5" t="str">
        <v>Umbral de cobertura Calculation Date</v>
      </c>
      <c r="D5" s="1">
        <v>0.95</v>
      </c>
    </row>
    <row r="6">
      <c r="C6" t="str">
        <v>SOFR</v>
      </c>
      <c r="D6" s="1">
        <v>0.0362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C2" t="str">
        <v>PREFERRED YIELD</v>
      </c>
    </row>
    <row r="3">
      <c r="C3" t="str">
        <v>Saldo LP</v>
      </c>
      <c r="D3">
        <v>200000000000</v>
      </c>
    </row>
    <row r="4">
      <c r="C4" t="str">
        <v>Pref Yield mensual</v>
      </c>
      <c r="D4">
        <f>D3*(Supuestos!D3/12)</f>
        <v>2500000000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2">
      <c r="C2" t="str">
        <v>INGRESOS POR ENTIDAD ANUAL (COP MM)</v>
      </c>
    </row>
    <row r="4">
      <c r="D4">
        <v>2024</v>
      </c>
      <c r="E4">
        <v>2025</v>
      </c>
      <c r="F4">
        <v>2026</v>
      </c>
      <c r="G4">
        <v>2027</v>
      </c>
      <c r="H4">
        <v>2028</v>
      </c>
    </row>
    <row r="5">
      <c r="C5" t="str">
        <v>C1/C2/C3</v>
      </c>
      <c r="D5">
        <v>27882</v>
      </c>
      <c r="E5">
        <v>30100</v>
      </c>
      <c r="F5">
        <v>32500</v>
      </c>
      <c r="G5">
        <v>35000</v>
      </c>
      <c r="H5">
        <v>37800</v>
      </c>
    </row>
    <row r="6">
      <c r="C6" t="str">
        <v>C4</v>
      </c>
      <c r="D6">
        <v>31500</v>
      </c>
      <c r="E6">
        <v>34200</v>
      </c>
      <c r="F6">
        <v>36900</v>
      </c>
      <c r="G6">
        <v>39800</v>
      </c>
      <c r="H6">
        <v>42900</v>
      </c>
    </row>
    <row r="7">
      <c r="C7" t="str">
        <v>C5</v>
      </c>
      <c r="D7">
        <v>27534</v>
      </c>
      <c r="E7">
        <v>29600</v>
      </c>
      <c r="F7">
        <v>31900</v>
      </c>
      <c r="G7">
        <v>34400</v>
      </c>
      <c r="H7">
        <v>37100</v>
      </c>
    </row>
    <row r="8">
      <c r="C8" t="str">
        <v>Total ingresos</v>
      </c>
      <c r="D8">
        <f>SUM(D5:D7)</f>
        <v>86916</v>
      </c>
      <c r="E8">
        <f>SUM(E5:E7)</f>
        <v>93900</v>
      </c>
      <c r="F8">
        <f>SUM(F5:F7)</f>
        <v>101300</v>
      </c>
      <c r="G8">
        <f>SUM(G5:G7)</f>
        <v>109200</v>
      </c>
      <c r="H8">
        <f>SUM(H5:H7)</f>
        <v>117800</v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2">
      <c r="C2" t="str">
        <v>RESUMEN EJECUTIVO</v>
      </c>
    </row>
    <row r="3">
      <c r="C3" t="str">
        <v>Ingreso total 2024</v>
      </c>
      <c r="D3">
        <f>Ingresos!D8</f>
        <v>86916</v>
      </c>
    </row>
    <row r="4">
      <c r="C4" t="str">
        <v>Pref Yield mensual</v>
      </c>
      <c r="D4">
        <f>'Pref Yield'!D4</f>
        <v>2500000000</v>
      </c>
    </row>
    <row r="5">
      <c r="C5" t="str">
        <v>Umbral CD</v>
      </c>
      <c r="D5">
        <f>Supuestos!D5</f>
        <v>0.95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Supuestos</vt:lpstr>
      <vt:lpstr>Pref Yield</vt:lpstr>
      <vt:lpstr>Ingresos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