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uestos" sheetId="1" r:id="rId1"/>
    <sheet name="Pref Yield" sheetId="2" r:id="rId2"/>
    <sheet name="Ingresos" sheetId="3" r:id="rId3"/>
    <sheet name="Flujos" sheetId="4" r:id="rId4"/>
    <sheet name="Cascada" sheetId="5" r:id="rId5"/>
    <sheet name="Resumen" sheetId="6" r:id="rId6"/>
    <sheet name="Ingresos VIEJO" sheetId="7" r:id="rId7"/>
    <sheet name="Cascada v2 backup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2">
      <c r="C2" t="str">
        <v>SUPUESTOS GENERALES</v>
      </c>
    </row>
    <row r="3">
      <c r="C3" t="str">
        <v>Tasa Preferred Yield (EA)</v>
      </c>
      <c r="D3" s="1">
        <v>0.15</v>
      </c>
    </row>
    <row r="4">
      <c r="C4" t="str">
        <v>Tasa de descuento (EA)</v>
      </c>
      <c r="D4" s="1">
        <v>0.15</v>
      </c>
    </row>
    <row r="5">
      <c r="C5" t="str">
        <v>Management Fee</v>
      </c>
      <c r="D5" s="1">
        <v>0.05</v>
      </c>
    </row>
    <row r="6">
      <c r="C6" t="str">
        <v>SOFR</v>
      </c>
      <c r="D6" s="1">
        <v>0.0382</v>
      </c>
    </row>
    <row r="7">
      <c r="C7" t="str">
        <v>Spread tramo senior</v>
      </c>
      <c r="D7" s="1">
        <v>0.05</v>
      </c>
    </row>
    <row r="8">
      <c r="C8" t="str">
        <v>Umbral de cobertura Calculation Date</v>
      </c>
      <c r="D8" s="1">
        <v>0.8</v>
      </c>
    </row>
    <row r="9">
      <c r="C9" t="str">
        <v>Modo deuda</v>
      </c>
      <c r="D9" t="str">
        <v>SI</v>
      </c>
    </row>
    <row r="10">
      <c r="C10" t="str">
        <v>Tramo senior %</v>
      </c>
      <c r="D10" s="1">
        <v>0</v>
      </c>
    </row>
    <row r="11">
      <c r="C11" t="str">
        <v>Comision comercial de colocacion</v>
      </c>
      <c r="D11" s="1">
        <v>0</v>
      </c>
    </row>
    <row r="12">
      <c r="C12" t="str">
        <v>Otros</v>
      </c>
      <c r="D12">
        <v>0</v>
      </c>
    </row>
    <row r="13">
      <c r="C13" t="str">
        <v>Regimen aplicable CPCA</v>
      </c>
      <c r="D13">
        <v>304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2">
      <c r="C2" t="str">
        <v>PREFERRED YIELD</v>
      </c>
    </row>
    <row r="3">
      <c r="C3" t="str">
        <v>Saldo LP</v>
      </c>
      <c r="D3">
        <v>200000000000</v>
      </c>
    </row>
    <row r="4">
      <c r="C4" t="str">
        <v>Pref Yield mensual</v>
      </c>
      <c r="D4">
        <f>D3*((1+Supuestos!D3)^(1/12)-1)</f>
        <v>2342983383.970676</v>
      </c>
    </row>
    <row r="5">
      <c r="C5" t="str">
        <v>Pref Yield devengado 12 meses</v>
      </c>
      <c r="D5">
        <f>D4*12</f>
        <v>28115800607.64811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2">
      <c r="C2" t="str">
        <v>INGRESOS POR ENTIDAD ANUAL (COP MM)</v>
      </c>
    </row>
    <row r="4">
      <c r="D4">
        <v>2024</v>
      </c>
      <c r="E4">
        <v>2025</v>
      </c>
      <c r="F4">
        <v>2026</v>
      </c>
      <c r="G4">
        <v>2027</v>
      </c>
      <c r="H4">
        <v>2028</v>
      </c>
    </row>
    <row r="5">
      <c r="C5" t="str">
        <v>C1/C2/C3</v>
      </c>
      <c r="D5">
        <v>27882</v>
      </c>
      <c r="E5">
        <v>30100</v>
      </c>
      <c r="F5">
        <v>32500</v>
      </c>
      <c r="G5">
        <v>35000</v>
      </c>
      <c r="H5">
        <v>37800</v>
      </c>
    </row>
    <row r="6">
      <c r="C6" t="str">
        <v>C4</v>
      </c>
      <c r="D6">
        <v>31500</v>
      </c>
      <c r="E6">
        <v>34200</v>
      </c>
      <c r="F6">
        <v>36900</v>
      </c>
      <c r="G6">
        <v>39800</v>
      </c>
      <c r="H6">
        <v>42900</v>
      </c>
    </row>
    <row r="7">
      <c r="C7" t="str">
        <v>C5</v>
      </c>
      <c r="D7">
        <v>27534</v>
      </c>
      <c r="E7">
        <v>29600</v>
      </c>
      <c r="F7">
        <v>31900</v>
      </c>
      <c r="G7">
        <v>34400</v>
      </c>
      <c r="H7">
        <v>37100</v>
      </c>
    </row>
    <row r="8">
      <c r="C8" t="str">
        <v>Total ingresos</v>
      </c>
      <c r="D8">
        <f>SUM(D6:D7)</f>
        <v>59034</v>
      </c>
      <c r="E8">
        <f>SUM(E6:E7)</f>
        <v>63800</v>
      </c>
      <c r="F8">
        <f>SUM(F6:F7)</f>
        <v>68800</v>
      </c>
      <c r="G8">
        <f>SUM(G6:G7)</f>
        <v>74200</v>
      </c>
      <c r="H8">
        <f>SUM(H6:H7)</f>
        <v>80000</v>
      </c>
    </row>
    <row r="10">
      <c r="C10" t="str">
        <v>SOFR proyectado</v>
      </c>
      <c r="D10">
        <v>0.0382</v>
      </c>
      <c r="E10">
        <v>0.0382</v>
      </c>
      <c r="F10">
        <v>0.0382</v>
      </c>
      <c r="G10">
        <v>0.0382</v>
      </c>
      <c r="H10">
        <v>0.0382</v>
      </c>
    </row>
    <row r="12">
      <c r="C12" t="str">
        <v>Management fee VIEJO</v>
      </c>
      <c r="D12">
        <v>0</v>
      </c>
      <c r="E12">
        <v>0</v>
      </c>
      <c r="F12">
        <v>0</v>
      </c>
      <c r="G12">
        <v>0</v>
      </c>
      <c r="H12">
        <v>0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2">
      <c r="C2" t="str">
        <v>FLUJOS DEL PORTAFOLIO</v>
      </c>
    </row>
    <row r="3">
      <c r="C3" t="str">
        <v>Flujo portafolio vigente 2024</v>
      </c>
      <c r="D3">
        <v>-45000</v>
      </c>
    </row>
    <row r="4">
      <c r="C4" t="str">
        <v>Flujo portafolio vigente 2025</v>
      </c>
      <c r="D4">
        <v>12000</v>
      </c>
    </row>
    <row r="5">
      <c r="C5" t="str">
        <v>Flujo portafolio vigente 2026</v>
      </c>
      <c r="D5">
        <v>18500</v>
      </c>
    </row>
    <row r="6">
      <c r="C6" t="str">
        <v>Flujo portafolio vigente 2027</v>
      </c>
      <c r="D6">
        <v>21300</v>
      </c>
    </row>
    <row r="7">
      <c r="C7" t="str">
        <v>Flujo portafolio vigente 2028</v>
      </c>
      <c r="D7">
        <v>24800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2">
      <c r="C2" t="str">
        <v>CASCADA DE DISTRIBUCION</v>
      </c>
    </row>
    <row r="3">
      <c r="C3" t="str">
        <v>SOFR</v>
      </c>
      <c r="D3" s="1">
        <v>0.0362</v>
      </c>
    </row>
    <row r="4">
      <c r="C4" t="str">
        <v>Spread</v>
      </c>
      <c r="D4" s="1">
        <v>0.05</v>
      </c>
    </row>
    <row r="5">
      <c r="C5" t="str">
        <v>Tasa total tramo senior</v>
      </c>
      <c r="D5">
        <f>(1+D3)*(1+D4)-1</f>
        <v>0.08801000000000014</v>
      </c>
    </row>
    <row r="6">
      <c r="C6" t="str">
        <v>TIR para split de carry</v>
      </c>
      <c r="D6">
        <f>IRR(Flujos!D3:D7)</f>
        <v>0.2263</v>
      </c>
    </row>
    <row r="7">
      <c r="C7" t="str">
        <v>Split LP</v>
      </c>
      <c r="D7" s="1">
        <v>0.75</v>
      </c>
    </row>
    <row r="8">
      <c r="C8" t="str">
        <v>Split GP</v>
      </c>
      <c r="D8" s="1">
        <v>0.25</v>
      </c>
    </row>
    <row r="10">
      <c r="C10" t="str">
        <v>Tasa SORF de referencia</v>
      </c>
      <c r="D10" s="1">
        <v>0.0362</v>
      </c>
    </row>
    <row r="12">
      <c r="C12" t="str">
        <v>Chequeo de cuadre</v>
      </c>
      <c r="D12" t="e">
        <v>#DIV/0!</v>
      </c>
    </row>
    <row r="14">
      <c r="C14" t="str">
        <v>Residual repartible</v>
      </c>
      <c r="D14">
        <v>1000000000</v>
      </c>
    </row>
    <row r="15">
      <c r="C15" t="str">
        <v>Carry LP</v>
      </c>
      <c r="D15">
        <f>-D14*0.75</f>
        <v>-750000000</v>
      </c>
    </row>
    <row r="16">
      <c r="C16" t="str">
        <v>Carry GP</v>
      </c>
      <c r="D16">
        <f>-D14*0.25</f>
        <v>-250000000</v>
      </c>
    </row>
    <row r="18">
      <c r="C18" t="str">
        <v>Valor presente sentencia</v>
      </c>
      <c r="D18">
        <f>D14/(1+((1+0.15)^(1/12)-1))^12</f>
        <v>869565217</v>
      </c>
    </row>
  </sheetData>
  <ignoredErrors>
    <ignoredError numberStoredAsText="1" sqref="A1:D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2">
      <c r="C2" t="str">
        <v>RESUMEN EJECUTIVO</v>
      </c>
    </row>
    <row r="3">
      <c r="C3" t="str">
        <v>Ingreso total 2024</v>
      </c>
      <c r="D3">
        <f>Ingresos!D8</f>
        <v>59034</v>
      </c>
    </row>
    <row r="4">
      <c r="C4" t="str">
        <v>Pref Yield devengado</v>
      </c>
      <c r="D4">
        <f>'Pref Yield'!D5</f>
        <v>28115800607.64811</v>
      </c>
    </row>
    <row r="5">
      <c r="C5" t="str">
        <v>Tasa tramo senior</v>
      </c>
      <c r="D5">
        <f>Cascada!D5</f>
        <v>0.08801000000000014</v>
      </c>
    </row>
    <row r="6">
      <c r="C6" t="str">
        <v>TIR carry</v>
      </c>
      <c r="D6">
        <f>Cascada!D6</f>
        <v>0.2263</v>
      </c>
    </row>
    <row r="7">
      <c r="C7" t="str">
        <v>Flujo 2024</v>
      </c>
      <c r="D7">
        <f>Flujos!D3</f>
        <v>-45000</v>
      </c>
    </row>
    <row r="8">
      <c r="C8" t="str">
        <v>Umbral CD</v>
      </c>
      <c r="D8">
        <f>Supuestos!D8</f>
        <v>0.8</v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2">
      <c r="C2" t="str">
        <v>INGRESOS - VERSION ANTERIOR</v>
      </c>
    </row>
    <row r="3">
      <c r="C3" t="str">
        <v>C4</v>
      </c>
      <c r="D3">
        <v>31500</v>
      </c>
    </row>
    <row r="4">
      <c r="C4" t="str">
        <v>Total</v>
      </c>
      <c r="D4" t="e">
        <v>#REF!</v>
      </c>
    </row>
    <row r="5">
      <c r="C5" t="str">
        <v>Chequeo</v>
      </c>
      <c r="D5" t="e">
        <v>#N/A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2">
      <c r="C2" t="str">
        <v>Copia de trabajo</v>
      </c>
    </row>
    <row r="3">
      <c r="C3" t="str">
        <v>Nota</v>
      </c>
      <c r="D3" t="str">
        <v>borrador de la sesion anterior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Supuestos</vt:lpstr>
      <vt:lpstr>Pref Yield</vt:lpstr>
      <vt:lpstr>Ingresos</vt:lpstr>
      <vt:lpstr>Flujos</vt:lpstr>
      <vt:lpstr>Cascada</vt:lpstr>
      <vt:lpstr>Resumen</vt:lpstr>
      <vt:lpstr>Ingresos VIEJO</vt:lpstr>
      <vt:lpstr>Cascada v2 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